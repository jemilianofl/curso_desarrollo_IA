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bei\Downloads\"/>
    </mc:Choice>
  </mc:AlternateContent>
  <xr:revisionPtr revIDLastSave="0" documentId="8_{A6A0A0E6-15EE-443D-8620-DD760BE7B1AF}" xr6:coauthVersionLast="47" xr6:coauthVersionMax="47" xr10:uidLastSave="{00000000-0000-0000-0000-000000000000}"/>
  <bookViews>
    <workbookView xWindow="-120" yWindow="-120" windowWidth="20730" windowHeight="11040" xr2:uid="{D396442B-FE3A-4B00-A1F9-45831FE990C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/>
</calcChain>
</file>

<file path=xl/sharedStrings.xml><?xml version="1.0" encoding="utf-8"?>
<sst xmlns="http://schemas.openxmlformats.org/spreadsheetml/2006/main" count="60" uniqueCount="27">
  <si>
    <r>
      <rPr>
        <b/>
        <sz val="9.5"/>
        <rFont val="Arial"/>
        <family val="2"/>
      </rPr>
      <t>Fecha</t>
    </r>
  </si>
  <si>
    <r>
      <rPr>
        <b/>
        <sz val="9.5"/>
        <rFont val="Calibri"/>
        <family val="1"/>
      </rPr>
      <t>%Agua</t>
    </r>
  </si>
  <si>
    <t>Qa (BPD)</t>
  </si>
  <si>
    <t>años</t>
  </si>
  <si>
    <t>Gradiente (kg/cm^2)</t>
  </si>
  <si>
    <t>Ql (BPD)</t>
  </si>
  <si>
    <t>POZO ABIERTO</t>
  </si>
  <si>
    <t>POZO CERRADO</t>
  </si>
  <si>
    <t>a1</t>
  </si>
  <si>
    <t>a2</t>
  </si>
  <si>
    <t>qo /omax</t>
  </si>
  <si>
    <t>pwf/pws</t>
  </si>
  <si>
    <t>curva 0.5</t>
  </si>
  <si>
    <t>curva 0.6</t>
  </si>
  <si>
    <t xml:space="preserve">x1 </t>
  </si>
  <si>
    <t xml:space="preserve">x2 </t>
  </si>
  <si>
    <t xml:space="preserve">x3 </t>
  </si>
  <si>
    <t xml:space="preserve">y1 </t>
  </si>
  <si>
    <t xml:space="preserve">y2 </t>
  </si>
  <si>
    <t xml:space="preserve">y3 </t>
  </si>
  <si>
    <t>Y3</t>
  </si>
  <si>
    <t xml:space="preserve">X1 </t>
  </si>
  <si>
    <t xml:space="preserve">X2 </t>
  </si>
  <si>
    <t xml:space="preserve">X3 </t>
  </si>
  <si>
    <t xml:space="preserve">Y1 </t>
  </si>
  <si>
    <t xml:space="preserve">Y2 </t>
  </si>
  <si>
    <t>Qo (BPD)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</si>
</sst>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0"/>
  </numFmts>
  <fonts count="9">
    <font>
      <sz val="11"/>
      <color theme="1"/>
      <name val="Aptos Narrow"/>
      <family val="2"/>
      <scheme val="minor"/>
    </font>
    <font>
      <b/>
      <sz val="9.5"/>
      <name val="Arial"/>
      <family val="2"/>
    </font>
    <font>
      <b/>
      <sz val="9.5"/>
      <name val="Calibri"/>
      <family val="2"/>
    </font>
    <font>
      <b/>
      <sz val="9.5"/>
      <name val="Calibri"/>
      <family val="1"/>
    </font>
    <font>
      <sz val="10.5"/>
      <color rgb="FF000000"/>
      <name val="Arial MT"/>
      <family val="2"/>
    </font>
    <font>
      <sz val="10"/>
      <name val="Times New Roman"/>
      <family val="1"/>
    </font>
    <font>
      <sz val="8.5"/>
      <name val="Times New Roman"/>
      <family val="1"/>
    </font>
    <font>
      <sz val="10"/>
      <color rgb="FF000000"/>
      <name val="Times New Roman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F1F1F1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164" fontId="4" fillId="3" borderId="1" xfId="0" applyNumberFormat="1" applyFont="1" applyFill="1" applyBorder="1" applyAlignment="1">
      <alignment horizontal="left" vertical="top" shrinkToFit="1"/>
    </xf>
    <xf numFmtId="4" fontId="4" fillId="3" borderId="1" xfId="0" applyNumberFormat="1" applyFont="1" applyFill="1" applyBorder="1" applyAlignment="1">
      <alignment horizontal="center" vertical="top" shrinkToFit="1"/>
    </xf>
    <xf numFmtId="1" fontId="4" fillId="3" borderId="1" xfId="0" applyNumberFormat="1" applyFont="1" applyFill="1" applyBorder="1" applyAlignment="1">
      <alignment horizontal="center" vertical="top" shrinkToFit="1"/>
    </xf>
    <xf numFmtId="1" fontId="4" fillId="3" borderId="0" xfId="0" applyNumberFormat="1" applyFont="1" applyFill="1" applyAlignment="1">
      <alignment horizontal="center" vertical="top" shrinkToFit="1"/>
    </xf>
    <xf numFmtId="164" fontId="4" fillId="0" borderId="1" xfId="0" applyNumberFormat="1" applyFont="1" applyBorder="1" applyAlignment="1">
      <alignment horizontal="left" vertical="top" shrinkToFit="1"/>
    </xf>
    <xf numFmtId="4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1" fontId="4" fillId="0" borderId="0" xfId="0" applyNumberFormat="1" applyFont="1" applyAlignment="1">
      <alignment horizontal="center" vertical="top" shrinkToFit="1"/>
    </xf>
    <xf numFmtId="164" fontId="4" fillId="4" borderId="1" xfId="0" applyNumberFormat="1" applyFont="1" applyFill="1" applyBorder="1" applyAlignment="1">
      <alignment horizontal="left" vertical="top" shrinkToFit="1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7" fillId="5" borderId="3" xfId="0" applyFont="1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7" fillId="5" borderId="4" xfId="0" applyFont="1" applyFill="1" applyBorder="1" applyAlignment="1">
      <alignment horizontal="left" vertical="top"/>
    </xf>
    <xf numFmtId="0" fontId="2" fillId="6" borderId="0" xfId="0" applyFont="1" applyFill="1" applyAlignment="1">
      <alignment horizontal="center" vertical="top" wrapText="1"/>
    </xf>
    <xf numFmtId="1" fontId="4" fillId="6" borderId="0" xfId="0" applyNumberFormat="1" applyFont="1" applyFill="1" applyAlignment="1">
      <alignment horizontal="center" vertical="top" shrinkToFit="1"/>
    </xf>
    <xf numFmtId="0" fontId="0" fillId="6" borderId="0" xfId="0" applyFill="1" applyAlignment="1">
      <alignment horizontal="left" vertical="top"/>
    </xf>
    <xf numFmtId="0" fontId="0" fillId="6" borderId="0" xfId="0" applyFill="1"/>
    <xf numFmtId="165" fontId="6" fillId="6" borderId="5" xfId="0" applyNumberFormat="1" applyFont="1" applyFill="1" applyBorder="1" applyAlignment="1">
      <alignment horizontal="center" vertical="top" shrinkToFit="1"/>
    </xf>
    <xf numFmtId="1" fontId="6" fillId="0" borderId="3" xfId="0" applyNumberFormat="1" applyFont="1" applyBorder="1" applyAlignment="1">
      <alignment horizontal="center" vertical="top" shrinkToFit="1"/>
    </xf>
    <xf numFmtId="0" fontId="5" fillId="0" borderId="3" xfId="0" applyFont="1" applyBorder="1" applyAlignment="1">
      <alignment horizontal="left" vertical="top"/>
    </xf>
    <xf numFmtId="165" fontId="6" fillId="0" borderId="3" xfId="0" applyNumberFormat="1" applyFont="1" applyBorder="1" applyAlignment="1">
      <alignment horizontal="center" vertical="top" shrinkToFit="1"/>
    </xf>
    <xf numFmtId="0" fontId="7" fillId="5" borderId="6" xfId="0" applyFont="1" applyFill="1" applyBorder="1" applyAlignment="1">
      <alignment horizontal="left" vertical="top"/>
    </xf>
    <xf numFmtId="11" fontId="0" fillId="0" borderId="0" xfId="0" applyNumberFormat="1" applyAlignment="1">
      <alignment horizontal="left" vertical="top"/>
    </xf>
    <xf numFmtId="11" fontId="0" fillId="0" borderId="0" xfId="0" applyNumberFormat="1"/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7" fillId="5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BD29-6169-4CF4-B31E-179D469860B8}">
  <dimension ref="A1:AY7"/>
  <sheetViews>
    <sheetView tabSelected="1" workbookViewId="0">
      <selection activeCell="A4" sqref="A4:B4"/>
    </sheetView>
  </sheetViews>
  <sheetFormatPr baseColWidth="10" defaultRowHeight="15"/>
  <cols>
    <col min="3" max="3" width="11.42578125" style="15"/>
    <col min="4" max="4" width="10.7109375" style="15" customWidth="1"/>
    <col min="5" max="5" width="12" style="15" bestFit="1" customWidth="1"/>
    <col min="6" max="6" width="9" style="15" customWidth="1"/>
    <col min="7" max="7" width="8.7109375" style="15" customWidth="1"/>
    <col min="8" max="8" width="14.7109375" style="21" customWidth="1"/>
    <col min="15" max="15" width="16.28515625" bestFit="1" customWidth="1"/>
    <col min="17" max="17" width="13.85546875" style="22" bestFit="1" customWidth="1"/>
  </cols>
  <sheetData>
    <row r="1" spans="1:51">
      <c r="A1" t="s">
        <v>8</v>
      </c>
      <c r="B1" t="s">
        <v>9</v>
      </c>
      <c r="C1" s="1" t="s">
        <v>0</v>
      </c>
      <c r="D1" s="2" t="s">
        <v>5</v>
      </c>
      <c r="E1" s="3" t="s">
        <v>1</v>
      </c>
      <c r="F1" s="4" t="s">
        <v>2</v>
      </c>
      <c r="G1" s="4" t="s">
        <v>26</v>
      </c>
      <c r="H1" s="19" t="s">
        <v>7</v>
      </c>
      <c r="I1" s="27" t="s">
        <v>14</v>
      </c>
      <c r="J1" s="27" t="s">
        <v>15</v>
      </c>
      <c r="K1" s="27" t="s">
        <v>16</v>
      </c>
      <c r="L1" s="27" t="s">
        <v>17</v>
      </c>
      <c r="M1" s="18" t="s">
        <v>18</v>
      </c>
      <c r="N1" s="18" t="s">
        <v>19</v>
      </c>
      <c r="O1" s="18" t="s">
        <v>4</v>
      </c>
      <c r="P1" s="18" t="s">
        <v>3</v>
      </c>
      <c r="Q1" s="22" t="s">
        <v>6</v>
      </c>
      <c r="R1" s="16" t="s">
        <v>21</v>
      </c>
      <c r="S1" s="16" t="s">
        <v>22</v>
      </c>
      <c r="T1" s="16" t="s">
        <v>23</v>
      </c>
      <c r="U1" s="16" t="s">
        <v>24</v>
      </c>
      <c r="V1" s="16" t="s">
        <v>25</v>
      </c>
      <c r="W1" s="16" t="s">
        <v>20</v>
      </c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P1" t="s">
        <v>12</v>
      </c>
      <c r="AQ1" s="15"/>
      <c r="AR1" t="s">
        <v>13</v>
      </c>
      <c r="AS1" s="15"/>
      <c r="AT1">
        <v>0.75</v>
      </c>
      <c r="AV1">
        <v>0.85</v>
      </c>
      <c r="AX1">
        <v>1</v>
      </c>
    </row>
    <row r="2" spans="1:51">
      <c r="C2" s="5">
        <v>39589</v>
      </c>
      <c r="D2" s="6">
        <v>1825</v>
      </c>
      <c r="E2" s="7">
        <v>16</v>
      </c>
      <c r="F2" s="8"/>
      <c r="G2" s="8"/>
      <c r="H2" s="20"/>
      <c r="AP2" t="s">
        <v>10</v>
      </c>
      <c r="AQ2" s="15" t="s">
        <v>11</v>
      </c>
      <c r="AR2" t="s">
        <v>10</v>
      </c>
      <c r="AS2" s="15" t="s">
        <v>11</v>
      </c>
      <c r="AT2" t="s">
        <v>10</v>
      </c>
      <c r="AU2" s="15" t="s">
        <v>11</v>
      </c>
      <c r="AV2" t="s">
        <v>10</v>
      </c>
      <c r="AW2" s="15" t="s">
        <v>11</v>
      </c>
      <c r="AX2" t="s">
        <v>10</v>
      </c>
      <c r="AY2" s="15" t="s">
        <v>11</v>
      </c>
    </row>
    <row r="3" spans="1:51">
      <c r="C3" s="9">
        <v>39585</v>
      </c>
      <c r="D3" s="10">
        <v>2434</v>
      </c>
      <c r="E3" s="11">
        <v>16</v>
      </c>
      <c r="F3" s="12"/>
      <c r="G3" s="12"/>
      <c r="H3" s="20"/>
      <c r="AP3">
        <v>0.6739349</v>
      </c>
      <c r="AQ3" s="28">
        <v>0</v>
      </c>
      <c r="AR3" s="15">
        <v>0.75804450000000001</v>
      </c>
      <c r="AS3" s="15">
        <v>2.2662045000000001E-3</v>
      </c>
      <c r="AT3" s="15">
        <v>0.88162046999999999</v>
      </c>
      <c r="AU3" s="29">
        <v>0</v>
      </c>
      <c r="AV3" s="22">
        <v>0.93768629999999997</v>
      </c>
      <c r="AW3">
        <v>5.7927915E-3</v>
      </c>
      <c r="AX3">
        <v>0.99687610000000004</v>
      </c>
      <c r="AY3">
        <v>5.9697413999999999E-3</v>
      </c>
    </row>
    <row r="4" spans="1:51">
      <c r="A4">
        <v>3020</v>
      </c>
      <c r="B4">
        <v>2980</v>
      </c>
      <c r="C4" s="13">
        <v>39450</v>
      </c>
      <c r="D4" s="6">
        <v>7390</v>
      </c>
      <c r="E4" s="7">
        <v>30</v>
      </c>
      <c r="F4" s="8">
        <f>D4*0.3</f>
        <v>2217</v>
      </c>
      <c r="G4" s="14">
        <f>D4-(D4*0.3)</f>
        <v>5173</v>
      </c>
      <c r="I4" s="24">
        <v>2688</v>
      </c>
      <c r="J4" s="24">
        <v>2695</v>
      </c>
      <c r="K4" s="25">
        <v>3000</v>
      </c>
      <c r="L4" s="26">
        <v>110.492</v>
      </c>
      <c r="M4" s="26">
        <v>110.92</v>
      </c>
      <c r="N4" s="26"/>
      <c r="O4" s="26">
        <v>4</v>
      </c>
      <c r="P4" s="26">
        <v>2</v>
      </c>
      <c r="Q4" s="23"/>
      <c r="R4" s="17">
        <v>2591</v>
      </c>
      <c r="S4" s="17">
        <v>2680</v>
      </c>
      <c r="T4" s="17">
        <v>3000</v>
      </c>
      <c r="U4">
        <v>105.497</v>
      </c>
      <c r="V4">
        <v>112.289</v>
      </c>
      <c r="AP4">
        <v>0.60409999999999997</v>
      </c>
      <c r="AQ4" s="15">
        <v>0.18117838999999999</v>
      </c>
      <c r="AR4" s="15">
        <v>0.61017949999999999</v>
      </c>
      <c r="AS4" s="15">
        <v>0.28583047</v>
      </c>
      <c r="AT4" s="15">
        <v>0.72024310000000002</v>
      </c>
      <c r="AU4">
        <v>0.29213860000000003</v>
      </c>
      <c r="AV4" s="22">
        <v>0.87308669999999999</v>
      </c>
      <c r="AW4">
        <v>0.15657145</v>
      </c>
      <c r="AX4">
        <v>0.88019599999999998</v>
      </c>
      <c r="AY4">
        <v>0.26720569999999999</v>
      </c>
    </row>
    <row r="5" spans="1:51">
      <c r="C5" s="13">
        <v>39420</v>
      </c>
      <c r="D5" s="10">
        <v>6502</v>
      </c>
      <c r="E5" s="11">
        <v>30</v>
      </c>
      <c r="F5" s="8"/>
      <c r="G5" s="12"/>
      <c r="H5" s="20"/>
      <c r="AP5">
        <v>0.49477935000000001</v>
      </c>
      <c r="AQ5" s="15">
        <v>0.37965601999999998</v>
      </c>
      <c r="AR5" s="15">
        <v>0.51651495999999997</v>
      </c>
      <c r="AS5" s="15">
        <v>0.4290484</v>
      </c>
      <c r="AT5" s="15">
        <v>0.54754882999999999</v>
      </c>
      <c r="AU5">
        <v>0.51135355000000005</v>
      </c>
      <c r="AV5" s="22">
        <v>0.75341849999999999</v>
      </c>
      <c r="AW5">
        <v>0.32960704000000002</v>
      </c>
      <c r="AX5">
        <v>0.74077850000000001</v>
      </c>
      <c r="AY5">
        <v>0.45363515999999998</v>
      </c>
    </row>
    <row r="6" spans="1:51">
      <c r="G6"/>
      <c r="H6" s="22"/>
      <c r="AP6">
        <v>0.22216843</v>
      </c>
      <c r="AQ6" s="15">
        <v>0.75701784999999999</v>
      </c>
      <c r="AR6" s="15">
        <v>0.24604554000000001</v>
      </c>
      <c r="AS6" s="15">
        <v>0.76157355000000004</v>
      </c>
      <c r="AT6" s="15">
        <v>0.26677507</v>
      </c>
      <c r="AU6" s="15">
        <v>0.78854139999999995</v>
      </c>
      <c r="AV6" s="21">
        <v>0.3280805</v>
      </c>
      <c r="AW6">
        <v>0.76181880000000002</v>
      </c>
      <c r="AX6">
        <v>0.41328245000000002</v>
      </c>
      <c r="AY6">
        <v>0.72619902999999997</v>
      </c>
    </row>
    <row r="7" spans="1:51">
      <c r="G7"/>
      <c r="H7" s="22"/>
      <c r="AP7" s="15">
        <v>4.7963440000000001E-3</v>
      </c>
      <c r="AQ7" s="15">
        <v>0.99402404</v>
      </c>
      <c r="AR7" s="15">
        <v>1.6810928E-3</v>
      </c>
      <c r="AS7" s="15">
        <v>0.99402714000000003</v>
      </c>
      <c r="AT7" s="15">
        <v>4.7963440000000001E-3</v>
      </c>
      <c r="AU7" s="15">
        <v>0.99403649999999999</v>
      </c>
      <c r="AV7" s="21">
        <v>7.9137519999999996E-3</v>
      </c>
      <c r="AW7">
        <v>0.99255099999999996</v>
      </c>
      <c r="AX7">
        <v>4.7941874000000002E-3</v>
      </c>
      <c r="AY7">
        <v>0.99553119999999995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889A-A3A4-4BFA-A44B-FB1F4C15BF94}">
  <dimension ref="A1:AZ2"/>
  <sheetViews>
    <sheetView workbookViewId="0">
      <selection activeCell="G13" sqref="G13"/>
    </sheetView>
  </sheetViews>
  <sheetFormatPr baseColWidth="10" defaultRowHeight="15"/>
  <sheetData>
    <row r="1" spans="1:52" ht="25.5">
      <c r="A1" t="s">
        <v>8</v>
      </c>
      <c r="B1" t="s">
        <v>9</v>
      </c>
      <c r="C1" s="1" t="s">
        <v>0</v>
      </c>
      <c r="D1" s="2" t="s">
        <v>5</v>
      </c>
      <c r="E1" s="3" t="s">
        <v>1</v>
      </c>
      <c r="F1" s="4" t="s">
        <v>2</v>
      </c>
      <c r="G1" s="4" t="s">
        <v>26</v>
      </c>
      <c r="H1" s="19" t="s">
        <v>7</v>
      </c>
      <c r="I1" s="27" t="s">
        <v>14</v>
      </c>
      <c r="J1" s="27" t="s">
        <v>15</v>
      </c>
      <c r="K1" s="27" t="s">
        <v>16</v>
      </c>
      <c r="L1" s="27" t="s">
        <v>17</v>
      </c>
      <c r="M1" s="18" t="s">
        <v>18</v>
      </c>
      <c r="N1" s="18" t="s">
        <v>19</v>
      </c>
      <c r="O1" s="18" t="s">
        <v>4</v>
      </c>
      <c r="P1" s="18" t="s">
        <v>3</v>
      </c>
      <c r="Q1" s="22" t="s">
        <v>6</v>
      </c>
      <c r="R1" s="16" t="s">
        <v>21</v>
      </c>
      <c r="S1" s="16" t="s">
        <v>22</v>
      </c>
      <c r="T1" s="16" t="s">
        <v>23</v>
      </c>
      <c r="U1" s="16" t="s">
        <v>24</v>
      </c>
      <c r="V1" s="16" t="s">
        <v>25</v>
      </c>
      <c r="W1" s="16" t="s">
        <v>20</v>
      </c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P1" t="s">
        <v>12</v>
      </c>
      <c r="AQ1" s="15"/>
      <c r="AR1" t="s">
        <v>13</v>
      </c>
      <c r="AS1" s="15"/>
      <c r="AT1">
        <v>0.75</v>
      </c>
      <c r="AV1">
        <v>0.85</v>
      </c>
      <c r="AX1">
        <v>1</v>
      </c>
    </row>
    <row r="2" spans="1:52">
      <c r="A2">
        <v>5545</v>
      </c>
      <c r="B2">
        <v>5595</v>
      </c>
      <c r="C2" s="30">
        <v>41019</v>
      </c>
      <c r="D2" s="31">
        <v>272</v>
      </c>
      <c r="E2" s="31">
        <v>14</v>
      </c>
      <c r="F2" s="15">
        <v>38</v>
      </c>
      <c r="G2">
        <v>272</v>
      </c>
      <c r="H2" s="22"/>
      <c r="N2">
        <v>250</v>
      </c>
      <c r="O2">
        <v>1</v>
      </c>
      <c r="P2">
        <v>-8</v>
      </c>
      <c r="Q2" s="22"/>
      <c r="R2">
        <v>5000</v>
      </c>
      <c r="S2">
        <v>5350</v>
      </c>
      <c r="T2">
        <v>5530</v>
      </c>
      <c r="U2">
        <v>80.790000000000006</v>
      </c>
      <c r="V2">
        <v>84.78</v>
      </c>
      <c r="AQ2">
        <v>0.35427386</v>
      </c>
      <c r="AR2" s="15">
        <v>0.60046195999999996</v>
      </c>
      <c r="AS2" s="15">
        <v>0.40416315000000003</v>
      </c>
      <c r="AT2" s="15">
        <v>0.56922090000000003</v>
      </c>
      <c r="AU2" s="15">
        <v>0.43418884000000002</v>
      </c>
      <c r="AV2" s="15">
        <v>0.63059620000000005</v>
      </c>
      <c r="AW2" s="21">
        <v>0.55995375000000003</v>
      </c>
      <c r="AX2">
        <v>0.55025464000000002</v>
      </c>
      <c r="AY2">
        <v>0.57337990000000005</v>
      </c>
      <c r="AZ2">
        <v>0.60111696000000003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Esbeidy Adriana Valladares Lopez</dc:creator>
  <cp:lastModifiedBy>Esbeidy Adriana Valladares Lopez</cp:lastModifiedBy>
  <dcterms:created xsi:type="dcterms:W3CDTF">2025-04-26T00:53:49Z</dcterms:created>
  <dcterms:modified xsi:type="dcterms:W3CDTF">2026-01-21T02:05:12Z</dcterms:modified>
</cp:coreProperties>
</file>